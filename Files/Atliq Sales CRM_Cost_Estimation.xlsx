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 PM\Capstone Project CRM Sales Assistant\Files\"/>
    </mc:Choice>
  </mc:AlternateContent>
  <xr:revisionPtr revIDLastSave="0" documentId="13_ncr:1_{1F677E0B-FF58-4A6A-A693-31F357C0B40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" sheetId="1" r:id="rId1"/>
    <sheet name="Inference" sheetId="2" r:id="rId2"/>
    <sheet name="Backfill &amp; Evals" sheetId="3" r:id="rId3"/>
    <sheet name="Cost Savings" sheetId="4" r:id="rId4"/>
  </sheets>
  <calcPr calcId="191029"/>
</workbook>
</file>

<file path=xl/calcChain.xml><?xml version="1.0" encoding="utf-8"?>
<calcChain xmlns="http://schemas.openxmlformats.org/spreadsheetml/2006/main">
  <c r="E21" i="4" l="1"/>
  <c r="E22" i="4" s="1"/>
  <c r="E9" i="4"/>
  <c r="E33" i="4" s="1"/>
  <c r="D21" i="3"/>
  <c r="D20" i="3"/>
  <c r="D19" i="3"/>
  <c r="D17" i="3"/>
  <c r="D15" i="3"/>
  <c r="J9" i="3"/>
  <c r="D27" i="3" s="1"/>
  <c r="G9" i="3"/>
  <c r="G10" i="3" s="1"/>
  <c r="D9" i="3"/>
  <c r="D10" i="3" s="1"/>
  <c r="C16" i="2"/>
  <c r="C9" i="2"/>
  <c r="I8" i="2" s="1"/>
  <c r="K8" i="2" s="1"/>
  <c r="J8" i="2"/>
  <c r="J7" i="2"/>
  <c r="J6" i="2"/>
  <c r="E9" i="1"/>
  <c r="E8" i="1"/>
  <c r="E7" i="1"/>
  <c r="C7" i="1"/>
  <c r="D16" i="3" l="1"/>
  <c r="D18" i="3" s="1"/>
  <c r="D22" i="3" s="1"/>
  <c r="G22" i="2"/>
  <c r="G23" i="2" s="1"/>
  <c r="J10" i="3"/>
  <c r="D28" i="3" s="1"/>
  <c r="D29" i="3" s="1"/>
  <c r="D32" i="3" s="1"/>
  <c r="F9" i="1"/>
  <c r="L8" i="2"/>
  <c r="I7" i="2"/>
  <c r="K7" i="2" s="1"/>
  <c r="C11" i="2"/>
  <c r="E15" i="4"/>
  <c r="I6" i="2"/>
  <c r="K6" i="2" s="1"/>
  <c r="C10" i="1" l="1"/>
  <c r="E24" i="4"/>
  <c r="F7" i="1"/>
  <c r="L6" i="2"/>
  <c r="G7" i="1" s="1"/>
  <c r="C16" i="1"/>
  <c r="L7" i="2"/>
  <c r="G8" i="1" s="1"/>
  <c r="F8" i="1"/>
  <c r="G9" i="1"/>
  <c r="G13" i="2"/>
  <c r="G15" i="2" s="1"/>
  <c r="E23" i="4" l="1"/>
  <c r="G16" i="2"/>
  <c r="C8" i="1" s="1"/>
  <c r="C9" i="1"/>
  <c r="E35" i="4" l="1"/>
  <c r="C11" i="1" s="1"/>
  <c r="E26" i="4"/>
  <c r="C17" i="1" l="1"/>
  <c r="E31" i="4"/>
  <c r="E36" i="4" l="1"/>
  <c r="E34" i="4"/>
  <c r="E32" i="4"/>
  <c r="C19" i="1" s="1"/>
  <c r="C18" i="1"/>
</calcChain>
</file>

<file path=xl/sharedStrings.xml><?xml version="1.0" encoding="utf-8"?>
<sst xmlns="http://schemas.openxmlformats.org/spreadsheetml/2006/main" count="165" uniqueCount="139">
  <si>
    <t>AtliQ Sales &amp; CRM Assistant · all figures recalculate from the Inference, Backfill &amp; Evals and Cost Savings sheets</t>
  </si>
  <si>
    <t>Running cost</t>
  </si>
  <si>
    <t>Model choice (monthly, same volume)</t>
  </si>
  <si>
    <t>Metric</t>
  </si>
  <si>
    <t>Value</t>
  </si>
  <si>
    <t>Model</t>
  </si>
  <si>
    <t>Cost per source ($)</t>
  </si>
  <si>
    <t>Cost per month ($)</t>
  </si>
  <si>
    <t>Emails / notes processed per month</t>
  </si>
  <si>
    <t>Cost per source (gpt-6-luna, incl. buffer)</t>
  </si>
  <si>
    <t>AI inference per month</t>
  </si>
  <si>
    <t>One-time backfill + first-year evals</t>
  </si>
  <si>
    <t>Total monthly cost incl. hosting</t>
  </si>
  <si>
    <t>Business case</t>
  </si>
  <si>
    <t>Why the cost is this low</t>
  </si>
  <si>
    <t>• One structured AI call per email or note — no agent loop, no embeddings, no vector database.</t>
  </si>
  <si>
    <t>Manual CRM work per month (today)</t>
  </si>
  <si>
    <t>• Matching, approvals and the Daily Brief are plain code: zero AI cost.</t>
  </si>
  <si>
    <t>Cost with Kaizen Copilot per month</t>
  </si>
  <si>
    <t>• Results are cached per source, so nothing is processed twice; prompt caching cuts measured cost further.</t>
  </si>
  <si>
    <t>Savings per month</t>
  </si>
  <si>
    <t>• Measured on the prototype: 50 sources for $0.043 on gpt-6-luna.</t>
  </si>
  <si>
    <t>% Savings</t>
  </si>
  <si>
    <t>One structured-output call per email thread, meeting note or Quick Capture. Blue = input/assumption, black = formula, green = link.</t>
  </si>
  <si>
    <t>Base Calculation</t>
  </si>
  <si>
    <t>Description</t>
  </si>
  <si>
    <t>Quantity</t>
  </si>
  <si>
    <t>Source / assumption</t>
  </si>
  <si>
    <t>Model Name</t>
  </si>
  <si>
    <t>Input cost($) per 1M token</t>
  </si>
  <si>
    <t>Output cost($) per 1M token</t>
  </si>
  <si>
    <t>Cost per input ($)</t>
  </si>
  <si>
    <t>Cost per output ($)</t>
  </si>
  <si>
    <t>Total cost per source ($)</t>
  </si>
  <si>
    <t>Total cost per month ($)</t>
  </si>
  <si>
    <t>System prompt + rules (tokens)</t>
  </si>
  <si>
    <t>Prompt is ~880 words × 1.3 tokens/word</t>
  </si>
  <si>
    <t>gpt-6-astra</t>
  </si>
  <si>
    <t>Output schema sent with each call (tokens)</t>
  </si>
  <si>
    <t>Strict JSON schema for structured output (estimate)</t>
  </si>
  <si>
    <t>gpt-6.1-sol</t>
  </si>
  <si>
    <t>Email / note text (tokens)</t>
  </si>
  <si>
    <t>Dataset average ~110 words × 1.3, plus headers</t>
  </si>
  <si>
    <t>gpt-6-luna (selected)</t>
  </si>
  <si>
    <t>Total input tokens per source</t>
  </si>
  <si>
    <t>Prototype measured 2,458 on average (50 sources)</t>
  </si>
  <si>
    <t>Prices: OpenAI API pricing page, Standard tier, Oct 2026 — verify before submitting.</t>
  </si>
  <si>
    <t>Total output tokens per source</t>
  </si>
  <si>
    <t>Prototype measured average, incl. reasoning tokens</t>
  </si>
  <si>
    <t>Total tokens per source</t>
  </si>
  <si>
    <t>Selected model: gpt-6-luna</t>
  </si>
  <si>
    <t>Sellers using the tool</t>
  </si>
  <si>
    <t>Bhavin, Dhaval, Karandeep, Jay</t>
  </si>
  <si>
    <t>Component</t>
  </si>
  <si>
    <t>Cost / Quantity</t>
  </si>
  <si>
    <t>Emails / notes per seller per working day</t>
  </si>
  <si>
    <t>Assumption: client threads + meeting notes</t>
  </si>
  <si>
    <t>Monthly model cost (no caching)</t>
  </si>
  <si>
    <t>Quick Captures per seller per working day</t>
  </si>
  <si>
    <t>Assumption: phone notes after calls</t>
  </si>
  <si>
    <t>Buffer for retries and prompt re-runs</t>
  </si>
  <si>
    <t>Working days per month</t>
  </si>
  <si>
    <t>Monthly inference cost incl. buffer</t>
  </si>
  <si>
    <t>Total monthly volume of sources</t>
  </si>
  <si>
    <t>Emails + notes + captures processed per month</t>
  </si>
  <si>
    <t>Cost per source incl. buffer</t>
  </si>
  <si>
    <t>Prototype check (measured)</t>
  </si>
  <si>
    <t>Measured cost per source, with prompt caching</t>
  </si>
  <si>
    <t>Estimated cost per source, no caching</t>
  </si>
  <si>
    <t>Estimate vs measured</t>
  </si>
  <si>
    <t>Measured: 50 dataset sources cost $0.043 in total (88% of input tokens served from cache). The estimate ignores caching, so it is conservative.</t>
  </si>
  <si>
    <t>Token/word</t>
  </si>
  <si>
    <t>No embeddings or vector database: CRM matching is deterministic code. This sheet replaces the RAG embedding sheet with the one-time history backfill and evaluation runs.</t>
  </si>
  <si>
    <t>Email threads (12-month history)</t>
  </si>
  <si>
    <t>Meeting notes (12-month history)</t>
  </si>
  <si>
    <t>Evaluation runs (per year)</t>
  </si>
  <si>
    <t>Number of email threads</t>
  </si>
  <si>
    <t>Number of meeting notes</t>
  </si>
  <si>
    <t>Sources in eval set</t>
  </si>
  <si>
    <t>Number of words per thread</t>
  </si>
  <si>
    <t>Number of words per note</t>
  </si>
  <si>
    <t>Eval runs per year</t>
  </si>
  <si>
    <t>Total number of words</t>
  </si>
  <si>
    <t>Total source-runs</t>
  </si>
  <si>
    <t>Total tokens</t>
  </si>
  <si>
    <t>Cost per source-run ($)</t>
  </si>
  <si>
    <t>Assumption: 4 sellers × ~6 threads/day × 250 days. Dataset average 119 words.</t>
  </si>
  <si>
    <t>Assumption: ~6 notes/week per seller. Dataset average 94 words.</t>
  </si>
  <si>
    <t>Dataset of 50 sources, re-run ~2× a month for prompt or model changes.</t>
  </si>
  <si>
    <t>History backfill (one-time, gpt-6-luna)</t>
  </si>
  <si>
    <t>Cost/Quantity</t>
  </si>
  <si>
    <t>Sources to backfill</t>
  </si>
  <si>
    <t>Source text tokens</t>
  </si>
  <si>
    <t>Prompt + schema tokens</t>
  </si>
  <si>
    <t>Total input tokens</t>
  </si>
  <si>
    <t>Total output tokens</t>
  </si>
  <si>
    <t>Input cost per 1M token</t>
  </si>
  <si>
    <t>Output cost per 1M token</t>
  </si>
  <si>
    <t>Total backfill cost</t>
  </si>
  <si>
    <t>Evaluation runs (annual)</t>
  </si>
  <si>
    <t>Source-runs per year</t>
  </si>
  <si>
    <t>Cost per source-run</t>
  </si>
  <si>
    <t>Total eval cost per year</t>
  </si>
  <si>
    <t>Total backfill + first-year evals</t>
  </si>
  <si>
    <t>Sellers (founders + sales executive)</t>
  </si>
  <si>
    <t>Minutes per seller per day on CRM admin</t>
  </si>
  <si>
    <t>Assumption: logging emails and notes, updating fields, hunting for follow-ups.</t>
  </si>
  <si>
    <t>Pipeline reconciliation hours per month</t>
  </si>
  <si>
    <t>Dataset: Jay spent ~2 hours reconciling the CRM before one monthly review.</t>
  </si>
  <si>
    <t>Human hours per month on CRM admin</t>
  </si>
  <si>
    <t>Total monthly cost of manual CRM work</t>
  </si>
  <si>
    <t>Cost</t>
  </si>
  <si>
    <t>Blended cost of founder / sales time per hour</t>
  </si>
  <si>
    <t>Assumption: replace with AtliQ's own loaded hourly cost for founders and sales.</t>
  </si>
  <si>
    <t>Total human cost per month</t>
  </si>
  <si>
    <t>Cost with Kaizen Copilot</t>
  </si>
  <si>
    <t>Minutes per seller per day on Daily Brief + Review Queue</t>
  </si>
  <si>
    <t>Assumption: approving changes and acting on the ranked brief.</t>
  </si>
  <si>
    <t>Residual human hours per month</t>
  </si>
  <si>
    <t>Residual human cost</t>
  </si>
  <si>
    <t>AI inference (gpt-6-luna, incl. buffer)</t>
  </si>
  <si>
    <t>Backfill + evals, amortized per month</t>
  </si>
  <si>
    <t>Hosting (Vercel)</t>
  </si>
  <si>
    <t>Assumption: Vercel Pro for production (free Hobby tier for the prototype) — verify plan price. Shared database on a free tier: $0.</t>
  </si>
  <si>
    <t>Total cost with Kaizen Copilot</t>
  </si>
  <si>
    <t>Savings</t>
  </si>
  <si>
    <t>Total savings per month</t>
  </si>
  <si>
    <t>Founder / sales hours freed per month</t>
  </si>
  <si>
    <t>Annual savings</t>
  </si>
  <si>
    <t>AI + hosting cost per month</t>
  </si>
  <si>
    <t>Savings per $1 of AI + hosting spend</t>
  </si>
  <si>
    <t>Business upside (not counted in savings)</t>
  </si>
  <si>
    <t>Pipeline value flagged at risk on 10 Jul 2026</t>
  </si>
  <si>
    <t>From the prototype's Daily Brief on the AtliQ dataset: revenue tied to overdue promises, unanswered client asks and imminent deadlines.</t>
  </si>
  <si>
    <t>Accounts with critical items on that day</t>
  </si>
  <si>
    <t>Atliq Sales and CRM Assistant — Cost Estimation Summary</t>
  </si>
  <si>
    <t>AtliQ Sales &amp; CRM Assistant — Inference cost</t>
  </si>
  <si>
    <t>AtliQ Sales &amp; CRM Assistant — One-time backfill and evaluation runs</t>
  </si>
  <si>
    <t>AtliQ Sales &amp; CRM Assistant — Human vs AI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</si>
</sst>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[$$-409]#,##0.000000"/>
    <numFmt numFmtId="166" formatCode="0.0"/>
    <numFmt numFmtId="167" formatCode="0.0\x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i/>
      <sz val="12"/>
      <color rgb="FF595959"/>
      <name val="Calibri"/>
    </font>
    <font>
      <b/>
      <sz val="14"/>
      <color rgb="FF000000"/>
      <name val="Calibri"/>
    </font>
    <font>
      <sz val="14"/>
      <color rgb="FF000000"/>
      <name val="Calibri"/>
    </font>
    <font>
      <sz val="14"/>
      <color rgb="FF0000FF"/>
      <name val="Calibri"/>
    </font>
    <font>
      <b/>
      <sz val="14"/>
      <color rgb="FF0000FF"/>
      <name val="Calibri"/>
    </font>
    <font>
      <b/>
      <sz val="14"/>
      <color rgb="FF008000"/>
      <name val="Calibri"/>
    </font>
    <font>
      <sz val="14"/>
      <color rgb="FF008000"/>
      <name val="Calibri"/>
    </font>
    <font>
      <b/>
      <sz val="14"/>
      <color rgb="FFFFFFFF"/>
      <name val="Calibri"/>
    </font>
    <font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7E7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9" fontId="7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3" fontId="3" fillId="2" borderId="0" xfId="0" applyNumberFormat="1" applyFont="1" applyFill="1" applyAlignment="1">
      <alignment vertical="center"/>
    </xf>
    <xf numFmtId="3" fontId="6" fillId="2" borderId="0" xfId="0" applyNumberFormat="1" applyFont="1" applyFill="1" applyAlignment="1">
      <alignment vertical="center"/>
    </xf>
    <xf numFmtId="9" fontId="5" fillId="0" borderId="0" xfId="0" applyNumberFormat="1" applyFont="1" applyAlignment="1">
      <alignment vertical="center"/>
    </xf>
    <xf numFmtId="164" fontId="3" fillId="2" borderId="0" xfId="0" applyNumberFormat="1" applyFont="1" applyFill="1" applyAlignment="1">
      <alignment vertical="center"/>
    </xf>
    <xf numFmtId="165" fontId="5" fillId="0" borderId="0" xfId="0" applyNumberFormat="1" applyFont="1" applyAlignment="1">
      <alignment vertical="center"/>
    </xf>
    <xf numFmtId="9" fontId="4" fillId="0" borderId="0" xfId="0" applyNumberFormat="1" applyFont="1" applyAlignment="1">
      <alignment vertical="center"/>
    </xf>
    <xf numFmtId="166" fontId="6" fillId="2" borderId="0" xfId="0" applyNumberFormat="1" applyFont="1" applyFill="1" applyAlignment="1">
      <alignment vertical="center"/>
    </xf>
    <xf numFmtId="3" fontId="4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9" fillId="3" borderId="0" xfId="0" applyFont="1" applyFill="1" applyAlignment="1">
      <alignment vertical="center"/>
    </xf>
    <xf numFmtId="164" fontId="9" fillId="3" borderId="0" xfId="0" applyNumberFormat="1" applyFont="1" applyFill="1" applyAlignment="1">
      <alignment vertical="center"/>
    </xf>
    <xf numFmtId="166" fontId="3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/>
    <xf numFmtId="0" fontId="9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5" displayName="Table15" ref="B6:C11">
  <autoFilter ref="B6:C11" xr:uid="{00000000-0009-0000-0100-000001000000}"/>
  <tableColumns count="2">
    <tableColumn id="2" xr3:uid="{00000000-0010-0000-0000-000002000000}" name="Metric"/>
    <tableColumn id="3" xr3:uid="{00000000-0010-0000-0000-000003000000}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6" displayName="Table16" ref="B15:C19">
  <autoFilter ref="B15:C19" xr:uid="{00000000-0009-0000-0100-000002000000}"/>
  <tableColumns count="2">
    <tableColumn id="2" xr3:uid="{00000000-0010-0000-0100-000002000000}" name="Metric"/>
    <tableColumn id="3" xr3:uid="{00000000-0010-0000-0100-000003000000}" name="Valu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7" displayName="Table17" ref="E6:G9">
  <autoFilter ref="E6:G9" xr:uid="{00000000-0009-0000-0100-000003000000}"/>
  <tableColumns count="3">
    <tableColumn id="5" xr3:uid="{00000000-0010-0000-0200-000005000000}" name="Model"/>
    <tableColumn id="6" xr3:uid="{00000000-0010-0000-0200-000006000000}" name="Cost per source ($)"/>
    <tableColumn id="7" xr3:uid="{00000000-0010-0000-0200-000007000000}" name="Cost per month ($)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" ref="B5:D16">
  <autoFilter ref="B5:D16" xr:uid="{00000000-0009-0000-0100-000004000000}"/>
  <tableColumns count="3">
    <tableColumn id="2" xr3:uid="{00000000-0010-0000-0300-000002000000}" name="Description"/>
    <tableColumn id="3" xr3:uid="{00000000-0010-0000-0300-000003000000}" name="Quantity"/>
    <tableColumn id="4" xr3:uid="{00000000-0010-0000-0300-000004000000}" name="Source / assump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F5:L8">
  <autoFilter ref="F5:L8" xr:uid="{00000000-0009-0000-0100-000005000000}"/>
  <tableColumns count="7">
    <tableColumn id="6" xr3:uid="{00000000-0010-0000-0400-000006000000}" name="Model Name"/>
    <tableColumn id="7" xr3:uid="{00000000-0010-0000-0400-000007000000}" name="Input cost($) per 1M token"/>
    <tableColumn id="8" xr3:uid="{00000000-0010-0000-0400-000008000000}" name="Output cost($) per 1M token"/>
    <tableColumn id="9" xr3:uid="{00000000-0010-0000-0400-000009000000}" name="Cost per input ($)"/>
    <tableColumn id="10" xr3:uid="{00000000-0010-0000-0400-00000A000000}" name="Cost per output ($)"/>
    <tableColumn id="11" xr3:uid="{00000000-0010-0000-0400-00000B000000}" name="Total cost per source ($)"/>
    <tableColumn id="12" xr3:uid="{00000000-0010-0000-0400-00000C000000}" name="Total cost per month ($)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" displayName="Table3" ref="F12:G16">
  <autoFilter ref="F12:G16" xr:uid="{00000000-0009-0000-0100-000006000000}"/>
  <tableColumns count="2">
    <tableColumn id="6" xr3:uid="{00000000-0010-0000-0500-000006000000}" name="Component"/>
    <tableColumn id="7" xr3:uid="{00000000-0010-0000-0500-000007000000}" name="Cost / Quantity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" displayName="Table4" ref="F20:G23">
  <autoFilter ref="F20:G23" xr:uid="{00000000-0009-0000-0100-000007000000}"/>
  <tableColumns count="2">
    <tableColumn id="6" xr3:uid="{00000000-0010-0000-0600-000006000000}" name="Component"/>
    <tableColumn id="7" xr3:uid="{00000000-0010-0000-0600-000007000000}" name="Valu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5" displayName="Table5" ref="C6:D10">
  <autoFilter ref="C6:D10" xr:uid="{00000000-0009-0000-0100-000008000000}"/>
  <tableColumns count="2">
    <tableColumn id="3" xr3:uid="{00000000-0010-0000-0700-000003000000}" name="Component"/>
    <tableColumn id="4" xr3:uid="{00000000-0010-0000-0700-000004000000}" name="Quantity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6" displayName="Table6" ref="F6:G10">
  <autoFilter ref="F6:G10" xr:uid="{00000000-0009-0000-0100-000009000000}"/>
  <tableColumns count="2">
    <tableColumn id="6" xr3:uid="{00000000-0010-0000-0800-000006000000}" name="Component"/>
    <tableColumn id="7" xr3:uid="{00000000-0010-0000-0800-000007000000}" name="Quantity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7" displayName="Table7" ref="I6:J10">
  <autoFilter ref="I6:J10" xr:uid="{00000000-0009-0000-0100-00000A000000}"/>
  <tableColumns count="2">
    <tableColumn id="9" xr3:uid="{00000000-0010-0000-0900-000009000000}" name="Component"/>
    <tableColumn id="10" xr3:uid="{00000000-0010-0000-0900-00000A000000}" name="Quantity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8" displayName="Table8" ref="C14:D22">
  <autoFilter ref="C14:D22" xr:uid="{00000000-0009-0000-0100-00000B000000}"/>
  <tableColumns count="2">
    <tableColumn id="3" xr3:uid="{00000000-0010-0000-0A00-000003000000}" name="Component"/>
    <tableColumn id="4" xr3:uid="{00000000-0010-0000-0A00-000004000000}" name="Cost/Quantity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9" displayName="Table9" ref="C26:D29">
  <autoFilter ref="C26:D29" xr:uid="{00000000-0009-0000-0100-00000C000000}"/>
  <tableColumns count="2">
    <tableColumn id="3" xr3:uid="{00000000-0010-0000-0B00-000003000000}" name="Component"/>
    <tableColumn id="4" xr3:uid="{00000000-0010-0000-0B00-000004000000}" name="Cost/Quantity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0" displayName="Table10" ref="D4:E9">
  <autoFilter ref="D4:E9" xr:uid="{00000000-0009-0000-0100-00000D000000}"/>
  <tableColumns count="2">
    <tableColumn id="4" xr3:uid="{00000000-0010-0000-0C00-000004000000}" name="Component"/>
    <tableColumn id="5" xr3:uid="{00000000-0010-0000-0C00-000005000000}" name="Quantity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1" displayName="Table11" ref="D13:E15">
  <autoFilter ref="D13:E15" xr:uid="{00000000-0009-0000-0100-00000E000000}"/>
  <tableColumns count="2">
    <tableColumn id="4" xr3:uid="{00000000-0010-0000-0D00-000004000000}" name="Component"/>
    <tableColumn id="5" xr3:uid="{00000000-0010-0000-0D00-000005000000}" name="Cos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2" displayName="Table12" ref="D19:E26">
  <autoFilter ref="D19:E26" xr:uid="{00000000-0009-0000-0100-00000F000000}"/>
  <tableColumns count="2">
    <tableColumn id="4" xr3:uid="{00000000-0010-0000-0E00-000004000000}" name="Component"/>
    <tableColumn id="5" xr3:uid="{00000000-0010-0000-0E00-000005000000}" name="Cost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3" displayName="Table13" ref="D30:E36">
  <autoFilter ref="D30:E36" xr:uid="{00000000-0009-0000-0100-000010000000}"/>
  <tableColumns count="2">
    <tableColumn id="4" xr3:uid="{00000000-0010-0000-0F00-000004000000}" name="Component"/>
    <tableColumn id="5" xr3:uid="{00000000-0010-0000-0F00-000005000000}" name="Value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4" displayName="Table14" ref="D40:E42">
  <autoFilter ref="D40:E42" xr:uid="{00000000-0009-0000-0100-000011000000}"/>
  <tableColumns count="2">
    <tableColumn id="4" xr3:uid="{00000000-0010-0000-1000-000004000000}" name="Component"/>
    <tableColumn id="5" xr3:uid="{00000000-0010-0000-1000-000005000000}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9"/>
  <sheetViews>
    <sheetView showGridLines="0" workbookViewId="0">
      <selection activeCell="B3" sqref="B3"/>
    </sheetView>
  </sheetViews>
  <sheetFormatPr defaultRowHeight="14.4" x14ac:dyDescent="0.3"/>
  <cols>
    <col min="1" max="1" width="2" customWidth="1"/>
    <col min="2" max="2" width="48" customWidth="1"/>
    <col min="3" max="3" width="22" customWidth="1"/>
    <col min="4" max="4" width="3" customWidth="1"/>
    <col min="5" max="5" width="34" customWidth="1"/>
    <col min="6" max="6" width="24" customWidth="1"/>
    <col min="7" max="7" width="22" customWidth="1"/>
  </cols>
  <sheetData>
    <row r="2" spans="2:7" ht="23.4" x14ac:dyDescent="0.3">
      <c r="B2" s="1" t="s">
        <v>135</v>
      </c>
    </row>
    <row r="3" spans="2:7" ht="15.6" x14ac:dyDescent="0.3">
      <c r="B3" s="2" t="s">
        <v>0</v>
      </c>
    </row>
    <row r="5" spans="2:7" ht="18" x14ac:dyDescent="0.3">
      <c r="B5" s="35" t="s">
        <v>1</v>
      </c>
      <c r="C5" s="36"/>
      <c r="E5" s="35" t="s">
        <v>2</v>
      </c>
      <c r="F5" s="36"/>
      <c r="G5" s="36"/>
    </row>
    <row r="6" spans="2:7" ht="18" x14ac:dyDescent="0.3">
      <c r="B6" s="4" t="s">
        <v>3</v>
      </c>
      <c r="C6" s="4" t="s">
        <v>4</v>
      </c>
      <c r="E6" s="4" t="s">
        <v>5</v>
      </c>
      <c r="F6" s="4" t="s">
        <v>6</v>
      </c>
      <c r="G6" s="4" t="s">
        <v>7</v>
      </c>
    </row>
    <row r="7" spans="2:7" ht="18" x14ac:dyDescent="0.3">
      <c r="B7" s="5" t="s">
        <v>8</v>
      </c>
      <c r="C7" s="6">
        <f>Inference!C16</f>
        <v>704</v>
      </c>
      <c r="E7" s="7" t="str">
        <f>Inference!F6</f>
        <v>gpt-6-astra</v>
      </c>
      <c r="F7" s="8">
        <f>Inference!K6</f>
        <v>0.10328000000000001</v>
      </c>
      <c r="G7" s="9">
        <f>Inference!L6</f>
        <v>72.709120000000013</v>
      </c>
    </row>
    <row r="8" spans="2:7" ht="18" x14ac:dyDescent="0.3">
      <c r="B8" s="5" t="s">
        <v>9</v>
      </c>
      <c r="C8" s="8">
        <f>Inference!G16</f>
        <v>1.2393599999999999E-3</v>
      </c>
      <c r="E8" s="7" t="str">
        <f>Inference!F7</f>
        <v>gpt-6.1-sol</v>
      </c>
      <c r="F8" s="8">
        <f>Inference!K7</f>
        <v>2.0656000000000001E-2</v>
      </c>
      <c r="G8" s="9">
        <f>Inference!L7</f>
        <v>14.541824</v>
      </c>
    </row>
    <row r="9" spans="2:7" ht="18" x14ac:dyDescent="0.3">
      <c r="B9" s="5" t="s">
        <v>10</v>
      </c>
      <c r="C9" s="9">
        <f>Inference!G15</f>
        <v>0.87250943999999986</v>
      </c>
      <c r="E9" s="7" t="str">
        <f>Inference!F8</f>
        <v>gpt-6-luna (selected)</v>
      </c>
      <c r="F9" s="8">
        <f>Inference!K8</f>
        <v>1.0328E-3</v>
      </c>
      <c r="G9" s="9">
        <f>Inference!L8</f>
        <v>0.72709119999999994</v>
      </c>
    </row>
    <row r="10" spans="2:7" ht="18" x14ac:dyDescent="0.3">
      <c r="B10" s="5" t="s">
        <v>11</v>
      </c>
      <c r="C10" s="9">
        <f>'Backfill &amp; Evals'!D32</f>
        <v>8.9414850000000001</v>
      </c>
    </row>
    <row r="11" spans="2:7" ht="18" x14ac:dyDescent="0.3">
      <c r="B11" s="4" t="s">
        <v>12</v>
      </c>
      <c r="C11" s="10">
        <f>'Cost Savings'!E35</f>
        <v>21.617633189999999</v>
      </c>
    </row>
    <row r="14" spans="2:7" ht="18" x14ac:dyDescent="0.3">
      <c r="B14" s="35" t="s">
        <v>13</v>
      </c>
      <c r="C14" s="36"/>
      <c r="E14" s="35" t="s">
        <v>14</v>
      </c>
      <c r="F14" s="36"/>
      <c r="G14" s="36"/>
    </row>
    <row r="15" spans="2:7" ht="18" x14ac:dyDescent="0.3">
      <c r="B15" s="4" t="s">
        <v>3</v>
      </c>
      <c r="C15" s="4" t="s">
        <v>4</v>
      </c>
      <c r="E15" s="11" t="s">
        <v>15</v>
      </c>
    </row>
    <row r="16" spans="2:7" ht="18" x14ac:dyDescent="0.3">
      <c r="B16" s="5" t="s">
        <v>16</v>
      </c>
      <c r="C16" s="9">
        <f>'Cost Savings'!E15</f>
        <v>2720</v>
      </c>
      <c r="E16" s="11" t="s">
        <v>17</v>
      </c>
    </row>
    <row r="17" spans="2:5" ht="18" x14ac:dyDescent="0.3">
      <c r="B17" s="5" t="s">
        <v>18</v>
      </c>
      <c r="C17" s="9">
        <f>'Cost Savings'!E26</f>
        <v>608.28429985666662</v>
      </c>
      <c r="E17" s="11" t="s">
        <v>19</v>
      </c>
    </row>
    <row r="18" spans="2:5" ht="18" x14ac:dyDescent="0.3">
      <c r="B18" s="4" t="s">
        <v>20</v>
      </c>
      <c r="C18" s="10">
        <f>'Cost Savings'!E31</f>
        <v>2111.7157001433334</v>
      </c>
      <c r="E18" s="11" t="s">
        <v>21</v>
      </c>
    </row>
    <row r="19" spans="2:5" ht="18" x14ac:dyDescent="0.3">
      <c r="B19" s="4" t="s">
        <v>22</v>
      </c>
      <c r="C19" s="12">
        <f>'Cost Savings'!E32</f>
        <v>0.77636606622916671</v>
      </c>
    </row>
  </sheetData>
  <mergeCells count="4">
    <mergeCell ref="B14:C14"/>
    <mergeCell ref="E5:G5"/>
    <mergeCell ref="B5:C5"/>
    <mergeCell ref="E14:G14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4"/>
  <sheetViews>
    <sheetView showGridLines="0" workbookViewId="0">
      <selection activeCell="B2" sqref="B2"/>
    </sheetView>
  </sheetViews>
  <sheetFormatPr defaultRowHeight="14.4" x14ac:dyDescent="0.3"/>
  <cols>
    <col min="1" max="1" width="2" customWidth="1"/>
    <col min="2" max="2" width="46" customWidth="1"/>
    <col min="3" max="3" width="14" customWidth="1"/>
    <col min="4" max="4" width="52" customWidth="1"/>
    <col min="5" max="5" width="3" customWidth="1"/>
    <col min="6" max="6" width="54" customWidth="1"/>
    <col min="7" max="8" width="20" customWidth="1"/>
    <col min="9" max="10" width="18" customWidth="1"/>
    <col min="11" max="12" width="20" customWidth="1"/>
  </cols>
  <sheetData>
    <row r="2" spans="2:12" ht="23.4" x14ac:dyDescent="0.3">
      <c r="B2" s="1" t="s">
        <v>136</v>
      </c>
    </row>
    <row r="3" spans="2:12" ht="15.6" x14ac:dyDescent="0.3">
      <c r="B3" s="2" t="s">
        <v>23</v>
      </c>
    </row>
    <row r="4" spans="2:12" ht="18" x14ac:dyDescent="0.3">
      <c r="B4" s="35" t="s">
        <v>24</v>
      </c>
      <c r="C4" s="36"/>
      <c r="D4" s="36"/>
    </row>
    <row r="5" spans="2:12" ht="40.049999999999997" customHeight="1" x14ac:dyDescent="0.3">
      <c r="B5" s="4" t="s">
        <v>25</v>
      </c>
      <c r="C5" s="4" t="s">
        <v>26</v>
      </c>
      <c r="D5" s="4" t="s">
        <v>27</v>
      </c>
      <c r="F5" s="13" t="s">
        <v>28</v>
      </c>
      <c r="G5" s="13" t="s">
        <v>29</v>
      </c>
      <c r="H5" s="13" t="s">
        <v>30</v>
      </c>
      <c r="I5" s="13" t="s">
        <v>31</v>
      </c>
      <c r="J5" s="13" t="s">
        <v>32</v>
      </c>
      <c r="K5" s="13" t="s">
        <v>33</v>
      </c>
      <c r="L5" s="13" t="s">
        <v>34</v>
      </c>
    </row>
    <row r="6" spans="2:12" ht="18" x14ac:dyDescent="0.3">
      <c r="B6" s="5" t="s">
        <v>35</v>
      </c>
      <c r="C6" s="14">
        <v>1150</v>
      </c>
      <c r="D6" s="2" t="s">
        <v>36</v>
      </c>
      <c r="F6" s="5" t="s">
        <v>37</v>
      </c>
      <c r="G6" s="15">
        <v>10</v>
      </c>
      <c r="H6" s="15">
        <v>50</v>
      </c>
      <c r="I6" s="16">
        <f>G6*$C$9/1000000</f>
        <v>2.4580000000000001E-2</v>
      </c>
      <c r="J6" s="16">
        <f>H6*$C$10/1000000</f>
        <v>7.8700000000000006E-2</v>
      </c>
      <c r="K6" s="16">
        <f>I6+J6</f>
        <v>0.10328000000000001</v>
      </c>
      <c r="L6" s="17">
        <f>K6*$C$16</f>
        <v>72.709120000000013</v>
      </c>
    </row>
    <row r="7" spans="2:12" ht="18" x14ac:dyDescent="0.3">
      <c r="B7" s="5" t="s">
        <v>38</v>
      </c>
      <c r="C7" s="14">
        <v>1100</v>
      </c>
      <c r="D7" s="2" t="s">
        <v>39</v>
      </c>
      <c r="F7" s="5" t="s">
        <v>40</v>
      </c>
      <c r="G7" s="15">
        <v>2</v>
      </c>
      <c r="H7" s="15">
        <v>10</v>
      </c>
      <c r="I7" s="16">
        <f>G7*$C$9/1000000</f>
        <v>4.9160000000000002E-3</v>
      </c>
      <c r="J7" s="16">
        <f>H7*$C$10/1000000</f>
        <v>1.5740000000000001E-2</v>
      </c>
      <c r="K7" s="16">
        <f>I7+J7</f>
        <v>2.0656000000000001E-2</v>
      </c>
      <c r="L7" s="17">
        <f>K7*$C$16</f>
        <v>14.541824</v>
      </c>
    </row>
    <row r="8" spans="2:12" ht="18" x14ac:dyDescent="0.3">
      <c r="B8" s="5" t="s">
        <v>41</v>
      </c>
      <c r="C8" s="14">
        <v>208</v>
      </c>
      <c r="D8" s="2" t="s">
        <v>42</v>
      </c>
      <c r="F8" s="4" t="s">
        <v>43</v>
      </c>
      <c r="G8" s="15">
        <v>0.1</v>
      </c>
      <c r="H8" s="15">
        <v>0.5</v>
      </c>
      <c r="I8" s="16">
        <f>G8*$C$9/1000000</f>
        <v>2.4580000000000001E-4</v>
      </c>
      <c r="J8" s="16">
        <f>H8*$C$10/1000000</f>
        <v>7.8700000000000005E-4</v>
      </c>
      <c r="K8" s="16">
        <f>I8+J8</f>
        <v>1.0328E-3</v>
      </c>
      <c r="L8" s="17">
        <f>K8*$C$16</f>
        <v>0.72709119999999994</v>
      </c>
    </row>
    <row r="9" spans="2:12" ht="18" x14ac:dyDescent="0.3">
      <c r="B9" s="3" t="s">
        <v>44</v>
      </c>
      <c r="C9" s="18">
        <f>SUM(C6:C8)</f>
        <v>2458</v>
      </c>
      <c r="D9" s="2" t="s">
        <v>45</v>
      </c>
      <c r="F9" s="2" t="s">
        <v>46</v>
      </c>
    </row>
    <row r="10" spans="2:12" ht="18" x14ac:dyDescent="0.3">
      <c r="B10" s="3" t="s">
        <v>47</v>
      </c>
      <c r="C10" s="19">
        <v>1574</v>
      </c>
      <c r="D10" s="2" t="s">
        <v>48</v>
      </c>
    </row>
    <row r="11" spans="2:12" ht="18" x14ac:dyDescent="0.3">
      <c r="B11" s="3" t="s">
        <v>49</v>
      </c>
      <c r="C11" s="18">
        <f>C9+C10</f>
        <v>4032</v>
      </c>
      <c r="D11" s="2"/>
      <c r="F11" s="35" t="s">
        <v>50</v>
      </c>
      <c r="G11" s="36"/>
    </row>
    <row r="12" spans="2:12" ht="18" x14ac:dyDescent="0.3">
      <c r="B12" s="5" t="s">
        <v>51</v>
      </c>
      <c r="C12" s="14">
        <v>4</v>
      </c>
      <c r="D12" s="2" t="s">
        <v>52</v>
      </c>
      <c r="F12" s="4" t="s">
        <v>53</v>
      </c>
      <c r="G12" s="4" t="s">
        <v>54</v>
      </c>
    </row>
    <row r="13" spans="2:12" ht="18" x14ac:dyDescent="0.3">
      <c r="B13" s="5" t="s">
        <v>55</v>
      </c>
      <c r="C13" s="14">
        <v>6</v>
      </c>
      <c r="D13" s="2" t="s">
        <v>56</v>
      </c>
      <c r="F13" s="5" t="s">
        <v>57</v>
      </c>
      <c r="G13" s="17">
        <f>L8</f>
        <v>0.72709119999999994</v>
      </c>
    </row>
    <row r="14" spans="2:12" ht="18" x14ac:dyDescent="0.3">
      <c r="B14" s="5" t="s">
        <v>58</v>
      </c>
      <c r="C14" s="14">
        <v>2</v>
      </c>
      <c r="D14" s="2" t="s">
        <v>59</v>
      </c>
      <c r="F14" s="5" t="s">
        <v>60</v>
      </c>
      <c r="G14" s="20">
        <v>0.2</v>
      </c>
    </row>
    <row r="15" spans="2:12" ht="18" x14ac:dyDescent="0.3">
      <c r="B15" s="5" t="s">
        <v>61</v>
      </c>
      <c r="C15" s="14">
        <v>22</v>
      </c>
      <c r="D15" s="2"/>
      <c r="F15" s="3" t="s">
        <v>62</v>
      </c>
      <c r="G15" s="21">
        <f>G13*(1+G14)</f>
        <v>0.87250943999999986</v>
      </c>
    </row>
    <row r="16" spans="2:12" ht="18" x14ac:dyDescent="0.3">
      <c r="B16" s="3" t="s">
        <v>63</v>
      </c>
      <c r="C16" s="18">
        <f>C12*(C13+C14)*C15</f>
        <v>704</v>
      </c>
      <c r="D16" s="2" t="s">
        <v>64</v>
      </c>
      <c r="F16" s="5" t="s">
        <v>65</v>
      </c>
      <c r="G16" s="16">
        <f>G15/C16</f>
        <v>1.2393599999999999E-3</v>
      </c>
    </row>
    <row r="19" spans="6:7" ht="18" x14ac:dyDescent="0.3">
      <c r="F19" s="35" t="s">
        <v>66</v>
      </c>
      <c r="G19" s="36"/>
    </row>
    <row r="20" spans="6:7" ht="18" x14ac:dyDescent="0.3">
      <c r="F20" s="4" t="s">
        <v>53</v>
      </c>
      <c r="G20" s="4" t="s">
        <v>4</v>
      </c>
    </row>
    <row r="21" spans="6:7" ht="18" x14ac:dyDescent="0.3">
      <c r="F21" s="5" t="s">
        <v>67</v>
      </c>
      <c r="G21" s="22">
        <v>8.5899999999999995E-4</v>
      </c>
    </row>
    <row r="22" spans="6:7" ht="18" x14ac:dyDescent="0.3">
      <c r="F22" s="5" t="s">
        <v>68</v>
      </c>
      <c r="G22" s="16">
        <f>K8</f>
        <v>1.0328E-3</v>
      </c>
    </row>
    <row r="23" spans="6:7" ht="18" x14ac:dyDescent="0.3">
      <c r="F23" s="5" t="s">
        <v>69</v>
      </c>
      <c r="G23" s="23">
        <f>G22/G21-1</f>
        <v>0.20232828870779973</v>
      </c>
    </row>
    <row r="24" spans="6:7" ht="15.6" x14ac:dyDescent="0.3">
      <c r="F24" s="2" t="s">
        <v>70</v>
      </c>
    </row>
  </sheetData>
  <mergeCells count="3">
    <mergeCell ref="F11:G11"/>
    <mergeCell ref="F19:G19"/>
    <mergeCell ref="B4:D4"/>
  </mergeCells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J32"/>
  <sheetViews>
    <sheetView showGridLines="0" workbookViewId="0">
      <selection activeCell="C1" sqref="C1"/>
    </sheetView>
  </sheetViews>
  <sheetFormatPr defaultRowHeight="14.4" x14ac:dyDescent="0.3"/>
  <cols>
    <col min="1" max="2" width="2" customWidth="1"/>
    <col min="3" max="3" width="40" customWidth="1"/>
    <col min="4" max="4" width="20" customWidth="1"/>
    <col min="5" max="5" width="3" customWidth="1"/>
    <col min="6" max="6" width="36" customWidth="1"/>
    <col min="7" max="7" width="16" customWidth="1"/>
    <col min="8" max="8" width="3" customWidth="1"/>
    <col min="9" max="9" width="32" customWidth="1"/>
    <col min="10" max="10" width="18" customWidth="1"/>
  </cols>
  <sheetData>
    <row r="1" spans="3:10" ht="23.4" x14ac:dyDescent="0.3">
      <c r="C1" s="1" t="s">
        <v>137</v>
      </c>
    </row>
    <row r="3" spans="3:10" ht="18" x14ac:dyDescent="0.3">
      <c r="C3" s="3" t="s">
        <v>71</v>
      </c>
      <c r="D3" s="24">
        <v>1.3</v>
      </c>
      <c r="F3" s="2" t="s">
        <v>72</v>
      </c>
    </row>
    <row r="5" spans="3:10" ht="18" x14ac:dyDescent="0.3">
      <c r="C5" s="35" t="s">
        <v>73</v>
      </c>
      <c r="D5" s="36"/>
      <c r="F5" s="35" t="s">
        <v>74</v>
      </c>
      <c r="G5" s="36"/>
      <c r="I5" s="35" t="s">
        <v>75</v>
      </c>
      <c r="J5" s="36"/>
    </row>
    <row r="6" spans="3:10" ht="18" x14ac:dyDescent="0.3">
      <c r="C6" s="4" t="s">
        <v>53</v>
      </c>
      <c r="D6" s="4" t="s">
        <v>26</v>
      </c>
      <c r="F6" s="4" t="s">
        <v>53</v>
      </c>
      <c r="G6" s="4" t="s">
        <v>26</v>
      </c>
      <c r="I6" s="4" t="s">
        <v>53</v>
      </c>
      <c r="J6" s="4" t="s">
        <v>26</v>
      </c>
    </row>
    <row r="7" spans="3:10" ht="18" x14ac:dyDescent="0.3">
      <c r="C7" s="5" t="s">
        <v>76</v>
      </c>
      <c r="D7" s="14">
        <v>6000</v>
      </c>
      <c r="F7" s="5" t="s">
        <v>77</v>
      </c>
      <c r="G7" s="14">
        <v>1500</v>
      </c>
      <c r="I7" s="5" t="s">
        <v>78</v>
      </c>
      <c r="J7" s="14">
        <v>50</v>
      </c>
    </row>
    <row r="8" spans="3:10" ht="18" x14ac:dyDescent="0.3">
      <c r="C8" s="5" t="s">
        <v>79</v>
      </c>
      <c r="D8" s="14">
        <v>120</v>
      </c>
      <c r="F8" s="5" t="s">
        <v>80</v>
      </c>
      <c r="G8" s="14">
        <v>95</v>
      </c>
      <c r="I8" s="5" t="s">
        <v>81</v>
      </c>
      <c r="J8" s="14">
        <v>24</v>
      </c>
    </row>
    <row r="9" spans="3:10" ht="18" x14ac:dyDescent="0.3">
      <c r="C9" s="5" t="s">
        <v>82</v>
      </c>
      <c r="D9" s="25">
        <f>D7*D8</f>
        <v>720000</v>
      </c>
      <c r="F9" s="5" t="s">
        <v>82</v>
      </c>
      <c r="G9" s="25">
        <f>G7*G8</f>
        <v>142500</v>
      </c>
      <c r="I9" s="5" t="s">
        <v>83</v>
      </c>
      <c r="J9" s="25">
        <f>J7*J8</f>
        <v>1200</v>
      </c>
    </row>
    <row r="10" spans="3:10" ht="18" x14ac:dyDescent="0.3">
      <c r="C10" s="4" t="s">
        <v>84</v>
      </c>
      <c r="D10" s="26">
        <f>D9*$D$3</f>
        <v>936000</v>
      </c>
      <c r="F10" s="4" t="s">
        <v>84</v>
      </c>
      <c r="G10" s="26">
        <f>G9*$D$3</f>
        <v>185250</v>
      </c>
      <c r="I10" s="4" t="s">
        <v>85</v>
      </c>
      <c r="J10" s="27">
        <f>Inference!K8</f>
        <v>1.0328E-3</v>
      </c>
    </row>
    <row r="11" spans="3:10" ht="15.6" x14ac:dyDescent="0.3">
      <c r="C11" s="2" t="s">
        <v>86</v>
      </c>
      <c r="F11" s="2" t="s">
        <v>87</v>
      </c>
      <c r="I11" s="2" t="s">
        <v>88</v>
      </c>
    </row>
    <row r="13" spans="3:10" ht="18" x14ac:dyDescent="0.3">
      <c r="C13" s="35" t="s">
        <v>89</v>
      </c>
      <c r="D13" s="36"/>
    </row>
    <row r="14" spans="3:10" ht="18" x14ac:dyDescent="0.3">
      <c r="C14" s="4" t="s">
        <v>53</v>
      </c>
      <c r="D14" s="4" t="s">
        <v>90</v>
      </c>
    </row>
    <row r="15" spans="3:10" ht="18" x14ac:dyDescent="0.3">
      <c r="C15" s="5" t="s">
        <v>91</v>
      </c>
      <c r="D15" s="25">
        <f>D7+G7</f>
        <v>7500</v>
      </c>
    </row>
    <row r="16" spans="3:10" ht="18" x14ac:dyDescent="0.3">
      <c r="C16" s="5" t="s">
        <v>92</v>
      </c>
      <c r="D16" s="25">
        <f>D10+G10</f>
        <v>1121250</v>
      </c>
    </row>
    <row r="17" spans="3:4" ht="18" x14ac:dyDescent="0.3">
      <c r="C17" s="5" t="s">
        <v>93</v>
      </c>
      <c r="D17" s="6">
        <f>D15*(Inference!C6+Inference!C7)</f>
        <v>16875000</v>
      </c>
    </row>
    <row r="18" spans="3:4" ht="18" x14ac:dyDescent="0.3">
      <c r="C18" s="5" t="s">
        <v>94</v>
      </c>
      <c r="D18" s="25">
        <f>D16+D17</f>
        <v>17996250</v>
      </c>
    </row>
    <row r="19" spans="3:4" ht="18" x14ac:dyDescent="0.3">
      <c r="C19" s="5" t="s">
        <v>95</v>
      </c>
      <c r="D19" s="6">
        <f>D15*Inference!C10</f>
        <v>11805000</v>
      </c>
    </row>
    <row r="20" spans="3:4" ht="18" x14ac:dyDescent="0.3">
      <c r="C20" s="5" t="s">
        <v>96</v>
      </c>
      <c r="D20" s="9">
        <f>Inference!G8</f>
        <v>0.1</v>
      </c>
    </row>
    <row r="21" spans="3:4" ht="18" x14ac:dyDescent="0.3">
      <c r="C21" s="5" t="s">
        <v>97</v>
      </c>
      <c r="D21" s="9">
        <f>Inference!H8</f>
        <v>0.5</v>
      </c>
    </row>
    <row r="22" spans="3:4" ht="18" x14ac:dyDescent="0.3">
      <c r="C22" s="4" t="s">
        <v>98</v>
      </c>
      <c r="D22" s="28">
        <f>D18*D20/1000000+D19*D21/1000000</f>
        <v>7.7021249999999997</v>
      </c>
    </row>
    <row r="25" spans="3:4" ht="18" x14ac:dyDescent="0.3">
      <c r="C25" s="35" t="s">
        <v>99</v>
      </c>
      <c r="D25" s="36"/>
    </row>
    <row r="26" spans="3:4" ht="18" x14ac:dyDescent="0.3">
      <c r="C26" s="4" t="s">
        <v>53</v>
      </c>
      <c r="D26" s="4" t="s">
        <v>90</v>
      </c>
    </row>
    <row r="27" spans="3:4" ht="18" x14ac:dyDescent="0.3">
      <c r="C27" s="5" t="s">
        <v>100</v>
      </c>
      <c r="D27" s="25">
        <f>J9</f>
        <v>1200</v>
      </c>
    </row>
    <row r="28" spans="3:4" ht="18" x14ac:dyDescent="0.3">
      <c r="C28" s="5" t="s">
        <v>101</v>
      </c>
      <c r="D28" s="16">
        <f>J10</f>
        <v>1.0328E-3</v>
      </c>
    </row>
    <row r="29" spans="3:4" ht="18" x14ac:dyDescent="0.3">
      <c r="C29" s="4" t="s">
        <v>102</v>
      </c>
      <c r="D29" s="28">
        <f>D27*D28</f>
        <v>1.23936</v>
      </c>
    </row>
    <row r="32" spans="3:4" ht="18" x14ac:dyDescent="0.3">
      <c r="C32" s="29" t="s">
        <v>103</v>
      </c>
      <c r="D32" s="30">
        <f>D22+D29</f>
        <v>8.9414850000000001</v>
      </c>
    </row>
  </sheetData>
  <mergeCells count="5">
    <mergeCell ref="C25:D25"/>
    <mergeCell ref="F5:G5"/>
    <mergeCell ref="C5:D5"/>
    <mergeCell ref="I5:J5"/>
    <mergeCell ref="C13:D13"/>
  </mergeCells>
  <pageMargins left="0.75" right="0.75" top="1" bottom="1" header="0.5" footer="0.5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1:F42"/>
  <sheetViews>
    <sheetView showGridLines="0" tabSelected="1" workbookViewId="0">
      <selection activeCell="D1" sqref="D1"/>
    </sheetView>
  </sheetViews>
  <sheetFormatPr defaultRowHeight="14.4" x14ac:dyDescent="0.3"/>
  <cols>
    <col min="1" max="3" width="2" customWidth="1"/>
    <col min="4" max="4" width="66" customWidth="1"/>
    <col min="5" max="5" width="20" customWidth="1"/>
    <col min="6" max="6" width="80" customWidth="1"/>
  </cols>
  <sheetData>
    <row r="1" spans="4:6" ht="23.4" x14ac:dyDescent="0.3">
      <c r="D1" s="1" t="s">
        <v>138</v>
      </c>
    </row>
    <row r="4" spans="4:6" ht="18" x14ac:dyDescent="0.3">
      <c r="D4" s="4" t="s">
        <v>53</v>
      </c>
      <c r="E4" s="4" t="s">
        <v>26</v>
      </c>
    </row>
    <row r="5" spans="4:6" ht="18" x14ac:dyDescent="0.3">
      <c r="D5" s="5" t="s">
        <v>104</v>
      </c>
      <c r="E5" s="14">
        <v>4</v>
      </c>
    </row>
    <row r="6" spans="4:6" ht="18" x14ac:dyDescent="0.3">
      <c r="D6" s="5" t="s">
        <v>105</v>
      </c>
      <c r="E6" s="14">
        <v>45</v>
      </c>
      <c r="F6" s="2" t="s">
        <v>106</v>
      </c>
    </row>
    <row r="7" spans="4:6" ht="18" x14ac:dyDescent="0.3">
      <c r="D7" s="5" t="s">
        <v>61</v>
      </c>
      <c r="E7" s="14">
        <v>22</v>
      </c>
    </row>
    <row r="8" spans="4:6" ht="18" x14ac:dyDescent="0.3">
      <c r="D8" s="5" t="s">
        <v>107</v>
      </c>
      <c r="E8" s="14">
        <v>2</v>
      </c>
      <c r="F8" s="2" t="s">
        <v>108</v>
      </c>
    </row>
    <row r="9" spans="4:6" ht="18" x14ac:dyDescent="0.3">
      <c r="D9" s="4" t="s">
        <v>109</v>
      </c>
      <c r="E9" s="31">
        <f>E5*E6*E7/60+E8</f>
        <v>68</v>
      </c>
    </row>
    <row r="12" spans="4:6" ht="18" x14ac:dyDescent="0.3">
      <c r="D12" s="37" t="s">
        <v>110</v>
      </c>
      <c r="E12" s="36"/>
    </row>
    <row r="13" spans="4:6" ht="18" x14ac:dyDescent="0.3">
      <c r="D13" s="4" t="s">
        <v>53</v>
      </c>
      <c r="E13" s="4" t="s">
        <v>111</v>
      </c>
    </row>
    <row r="14" spans="4:6" ht="18" x14ac:dyDescent="0.3">
      <c r="D14" s="5" t="s">
        <v>112</v>
      </c>
      <c r="E14" s="15">
        <v>40</v>
      </c>
      <c r="F14" s="2" t="s">
        <v>113</v>
      </c>
    </row>
    <row r="15" spans="4:6" ht="18" x14ac:dyDescent="0.3">
      <c r="D15" s="4" t="s">
        <v>114</v>
      </c>
      <c r="E15" s="28">
        <f>E9*E14</f>
        <v>2720</v>
      </c>
    </row>
    <row r="18" spans="4:6" ht="18" x14ac:dyDescent="0.3">
      <c r="D18" s="37" t="s">
        <v>115</v>
      </c>
      <c r="E18" s="36"/>
    </row>
    <row r="19" spans="4:6" ht="18" x14ac:dyDescent="0.3">
      <c r="D19" s="4" t="s">
        <v>53</v>
      </c>
      <c r="E19" s="4" t="s">
        <v>111</v>
      </c>
    </row>
    <row r="20" spans="4:6" ht="18" x14ac:dyDescent="0.3">
      <c r="D20" s="5" t="s">
        <v>116</v>
      </c>
      <c r="E20" s="14">
        <v>10</v>
      </c>
      <c r="F20" s="2" t="s">
        <v>117</v>
      </c>
    </row>
    <row r="21" spans="4:6" ht="18" x14ac:dyDescent="0.3">
      <c r="D21" s="5" t="s">
        <v>118</v>
      </c>
      <c r="E21" s="32">
        <f>E5*E20*E7/60</f>
        <v>14.666666666666666</v>
      </c>
    </row>
    <row r="22" spans="4:6" ht="18" x14ac:dyDescent="0.3">
      <c r="D22" s="5" t="s">
        <v>119</v>
      </c>
      <c r="E22" s="17">
        <f>E21*E14</f>
        <v>586.66666666666663</v>
      </c>
    </row>
    <row r="23" spans="4:6" ht="18" x14ac:dyDescent="0.3">
      <c r="D23" s="5" t="s">
        <v>120</v>
      </c>
      <c r="E23" s="9">
        <f>Inference!G15</f>
        <v>0.87250943999999986</v>
      </c>
    </row>
    <row r="24" spans="4:6" ht="18" x14ac:dyDescent="0.3">
      <c r="D24" s="5" t="s">
        <v>121</v>
      </c>
      <c r="E24" s="9">
        <f>'Backfill &amp; Evals'!D32/12</f>
        <v>0.74512374999999997</v>
      </c>
    </row>
    <row r="25" spans="4:6" ht="18" x14ac:dyDescent="0.3">
      <c r="D25" s="5" t="s">
        <v>122</v>
      </c>
      <c r="E25" s="15">
        <v>20</v>
      </c>
      <c r="F25" s="2" t="s">
        <v>123</v>
      </c>
    </row>
    <row r="26" spans="4:6" ht="18" x14ac:dyDescent="0.3">
      <c r="D26" s="4" t="s">
        <v>124</v>
      </c>
      <c r="E26" s="28">
        <f>SUM(E22:E25)</f>
        <v>608.28429985666662</v>
      </c>
    </row>
    <row r="29" spans="4:6" ht="18" x14ac:dyDescent="0.3">
      <c r="D29" s="37" t="s">
        <v>125</v>
      </c>
      <c r="E29" s="36"/>
    </row>
    <row r="30" spans="4:6" ht="18" x14ac:dyDescent="0.3">
      <c r="D30" s="4" t="s">
        <v>53</v>
      </c>
      <c r="E30" s="4" t="s">
        <v>4</v>
      </c>
    </row>
    <row r="31" spans="4:6" ht="18" x14ac:dyDescent="0.3">
      <c r="D31" s="4" t="s">
        <v>126</v>
      </c>
      <c r="E31" s="28">
        <f>E15-E26</f>
        <v>2111.7157001433334</v>
      </c>
    </row>
    <row r="32" spans="4:6" ht="18" x14ac:dyDescent="0.3">
      <c r="D32" s="4" t="s">
        <v>22</v>
      </c>
      <c r="E32" s="33">
        <f>E31/E15</f>
        <v>0.77636606622916671</v>
      </c>
    </row>
    <row r="33" spans="4:6" ht="18" x14ac:dyDescent="0.3">
      <c r="D33" s="5" t="s">
        <v>127</v>
      </c>
      <c r="E33" s="32">
        <f>E9-E21</f>
        <v>53.333333333333336</v>
      </c>
    </row>
    <row r="34" spans="4:6" ht="18" x14ac:dyDescent="0.3">
      <c r="D34" s="5" t="s">
        <v>128</v>
      </c>
      <c r="E34" s="17">
        <f>E31*12</f>
        <v>25340.588401720001</v>
      </c>
    </row>
    <row r="35" spans="4:6" ht="18" x14ac:dyDescent="0.3">
      <c r="D35" s="5" t="s">
        <v>129</v>
      </c>
      <c r="E35" s="17">
        <f>SUM(E23:E25)</f>
        <v>21.617633189999999</v>
      </c>
    </row>
    <row r="36" spans="4:6" ht="18" x14ac:dyDescent="0.3">
      <c r="D36" s="5" t="s">
        <v>130</v>
      </c>
      <c r="E36" s="34">
        <f>E31/E35</f>
        <v>97.684870567615249</v>
      </c>
    </row>
    <row r="39" spans="4:6" ht="18" x14ac:dyDescent="0.3">
      <c r="D39" s="35" t="s">
        <v>131</v>
      </c>
      <c r="E39" s="36"/>
    </row>
    <row r="40" spans="4:6" ht="18" x14ac:dyDescent="0.3">
      <c r="D40" s="4" t="s">
        <v>53</v>
      </c>
      <c r="E40" s="4" t="s">
        <v>4</v>
      </c>
    </row>
    <row r="41" spans="4:6" ht="18" x14ac:dyDescent="0.3">
      <c r="D41" s="5" t="s">
        <v>132</v>
      </c>
      <c r="E41" s="15">
        <v>492000</v>
      </c>
      <c r="F41" s="2" t="s">
        <v>133</v>
      </c>
    </row>
    <row r="42" spans="4:6" ht="18" x14ac:dyDescent="0.3">
      <c r="D42" s="5" t="s">
        <v>134</v>
      </c>
      <c r="E42" s="14">
        <v>21</v>
      </c>
    </row>
  </sheetData>
  <mergeCells count="4">
    <mergeCell ref="D39:E39"/>
    <mergeCell ref="D29:E29"/>
    <mergeCell ref="D12:E12"/>
    <mergeCell ref="D18:E18"/>
  </mergeCells>
  <pageMargins left="0.75" right="0.75" top="1" bottom="1" header="0.5" footer="0.5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Inference</vt:lpstr>
      <vt:lpstr>Backfill &amp; Evals</vt:lpstr>
      <vt:lpstr>Cost 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GYAN PRAKASH</cp:lastModifiedBy>
  <dcterms:created xsi:type="dcterms:W3CDTF">2026-10-11T12:43:05Z</dcterms:created>
  <dcterms:modified xsi:type="dcterms:W3CDTF">2026-10-12T17:54:54Z</dcterms:modified>
</cp:coreProperties>
</file>